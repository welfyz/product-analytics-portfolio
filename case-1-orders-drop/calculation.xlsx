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АНАЛИТИКА\EXCEL\"/>
    </mc:Choice>
  </mc:AlternateContent>
  <xr:revisionPtr revIDLastSave="0" documentId="13_ncr:1_{10538724-F211-4BF3-936E-4BF2674FE494}" xr6:coauthVersionLast="47" xr6:coauthVersionMax="47" xr10:uidLastSave="{00000000-0000-0000-0000-000000000000}"/>
  <bookViews>
    <workbookView xWindow="-120" yWindow="-120" windowWidth="29040" windowHeight="15720" xr2:uid="{05B77455-1D57-48B6-99C3-8EF8FB1EBA27}"/>
  </bookViews>
  <sheets>
    <sheet name="Вывод" sheetId="10" r:id="rId1"/>
    <sheet name="Данные" sheetId="1" r:id="rId2"/>
    <sheet name="Воронка" sheetId="2" r:id="rId3"/>
    <sheet name="Платформы и версии" sheetId="3" r:id="rId4"/>
    <sheet name="Android по версиям" sheetId="4" r:id="rId5"/>
    <sheet name="Диаграммы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3" l="1"/>
  <c r="C6" i="1"/>
  <c r="C5" i="1"/>
  <c r="B6" i="2"/>
  <c r="B4" i="6"/>
  <c r="B3" i="6"/>
  <c r="B2" i="6"/>
  <c r="F3" i="4"/>
  <c r="E3" i="4"/>
  <c r="D2" i="4"/>
  <c r="G3" i="4"/>
  <c r="H3" i="4"/>
  <c r="C4" i="4"/>
  <c r="B4" i="4"/>
  <c r="D3" i="4"/>
  <c r="C4" i="3"/>
  <c r="D4" i="3"/>
  <c r="E4" i="3"/>
  <c r="B4" i="3"/>
  <c r="F2" i="3"/>
  <c r="G2" i="3"/>
  <c r="H2" i="3" s="1"/>
  <c r="J2" i="3"/>
  <c r="J3" i="3"/>
  <c r="G3" i="3"/>
  <c r="F3" i="3"/>
  <c r="C4" i="2"/>
  <c r="B4" i="2"/>
  <c r="B3" i="2"/>
  <c r="C2" i="2"/>
  <c r="B2" i="2"/>
  <c r="C3" i="2"/>
  <c r="D2" i="2" l="1"/>
  <c r="E3" i="2"/>
  <c r="E2" i="2"/>
  <c r="D4" i="2"/>
  <c r="D3" i="2"/>
  <c r="E4" i="2"/>
  <c r="H3" i="3"/>
  <c r="I2" i="3"/>
</calcChain>
</file>

<file path=xl/sharedStrings.xml><?xml version="1.0" encoding="utf-8"?>
<sst xmlns="http://schemas.openxmlformats.org/spreadsheetml/2006/main" count="69" uniqueCount="60">
  <si>
    <t>Открыли приложение</t>
  </si>
  <si>
    <t>Добавили в корзину</t>
  </si>
  <si>
    <t>Оформили заказ</t>
  </si>
  <si>
    <t>Неделя 1</t>
  </si>
  <si>
    <t>Неделя 2</t>
  </si>
  <si>
    <t>Шаг</t>
  </si>
  <si>
    <t>Конверсия</t>
  </si>
  <si>
    <t>Открыли → Корзина</t>
  </si>
  <si>
    <t>Корзина → Заказ</t>
  </si>
  <si>
    <t>Общая</t>
  </si>
  <si>
    <t>Δ, п.п</t>
  </si>
  <si>
    <t>Δ, %</t>
  </si>
  <si>
    <t>Платформа</t>
  </si>
  <si>
    <t>Открыли (нед. 1)</t>
  </si>
  <si>
    <t>В корзину (нед. 1)</t>
  </si>
  <si>
    <t>Открыли (нед. 2)</t>
  </si>
  <si>
    <t>В корзину (нед. 2)</t>
  </si>
  <si>
    <t>iOS</t>
  </si>
  <si>
    <t>Android</t>
  </si>
  <si>
    <t xml:space="preserve"> Δ в %</t>
  </si>
  <si>
    <t>Δ в п.п.</t>
  </si>
  <si>
    <t>Открыли → Корзина (нед. 1)</t>
  </si>
  <si>
    <t>Открыли → Корзина (нед. 2)</t>
  </si>
  <si>
    <t>Потеряно в корзине, чел</t>
  </si>
  <si>
    <t>Всего</t>
  </si>
  <si>
    <t>Версия</t>
  </si>
  <si>
    <t>5.1</t>
  </si>
  <si>
    <t>5.2</t>
  </si>
  <si>
    <t>В корзину  при Конверсии версии 5.1</t>
  </si>
  <si>
    <t xml:space="preserve">потерянно </t>
  </si>
  <si>
    <t>Android 5.1</t>
  </si>
  <si>
    <t>Android 5.2</t>
  </si>
  <si>
    <t>Группа</t>
  </si>
  <si>
    <t>Конверсия: открыли → корзина (нед. 2)</t>
  </si>
  <si>
    <t>Проверка</t>
  </si>
  <si>
    <t>Потеряно заказов по расчёту</t>
  </si>
  <si>
    <t>Падение заказов по факту</t>
  </si>
  <si>
    <t>Факт:</t>
  </si>
  <si>
    <t>Причина:</t>
  </si>
  <si>
    <t>Последствия:</t>
  </si>
  <si>
    <t>Статус iOS:</t>
  </si>
  <si>
    <t> ~300 пользователей не добавили товар, что привело к потере ~100 заказов.</t>
  </si>
  <si>
    <t>Без изменений (проблема локализована в Android).</t>
  </si>
  <si>
    <t>Заказы упали на 10% (с 1000 до 900) на платформе Android.</t>
  </si>
  <si>
    <t>Рекомендуемое решение:</t>
  </si>
  <si>
    <t>Действие:</t>
  </si>
  <si>
    <t>Цель:</t>
  </si>
  <si>
    <t>Контроль:</t>
  </si>
  <si>
    <t>Замер конверсии в течение недели после отката.</t>
  </si>
  <si>
    <t>Восстановить конверсию до 30% и вернуть потерянные заказы.</t>
  </si>
  <si>
    <t>Откатить версию 5.2 на Android до стабильной 5.1.</t>
  </si>
  <si>
    <t>Изоляция:</t>
  </si>
  <si>
    <t>Гипотеза:</t>
  </si>
  <si>
    <t>Действие после отката:</t>
  </si>
  <si>
    <t>Параллельно провести технический аудит 5.2 для поиска бага перед повторным релизом.</t>
  </si>
  <si>
    <t>Вероятный баг в функционале кнопки «Добавить в корзину».</t>
  </si>
  <si>
    <t>Падение конверсии шага «Открыли → Корзина» с 30% до 18% (-12 п.п.) на версии 5.2.</t>
  </si>
  <si>
    <t>Обоснование:</t>
  </si>
  <si>
    <t>Суть проблемы:</t>
  </si>
  <si>
    <t>Проблема локализована в Android 5.2: на iOS и на версии 5.1 конверсия стабильна.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</si>
</sst>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Segoe UI Semibold"/>
      <family val="2"/>
      <charset val="204"/>
    </font>
    <font>
      <sz val="12"/>
      <color theme="1"/>
      <name val="Segoe UI Semibold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" fontId="0" fillId="0" borderId="0" xfId="0" applyNumberFormat="1"/>
    <xf numFmtId="0" fontId="0" fillId="0" borderId="0" xfId="0" applyAlignment="1"/>
    <xf numFmtId="165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9" fontId="0" fillId="0" borderId="0" xfId="1" applyFont="1"/>
    <xf numFmtId="1" fontId="0" fillId="0" borderId="0" xfId="1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vertical="center"/>
    </xf>
    <xf numFmtId="164" fontId="0" fillId="0" borderId="0" xfId="1" applyNumberFormat="1" applyFont="1" applyAlignment="1">
      <alignment vertical="center"/>
    </xf>
    <xf numFmtId="9" fontId="0" fillId="0" borderId="0" xfId="1" applyNumberFormat="1" applyFont="1"/>
    <xf numFmtId="1" fontId="0" fillId="0" borderId="0" xfId="1" applyNumberFormat="1" applyFont="1" applyAlignment="1">
      <alignment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9"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center" vertical="center" textRotation="0" wrapText="1" indent="0" justifyLastLine="0" shrinkToFit="0" readingOrder="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664512248468941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4456036745406818E-2"/>
          <c:y val="0.17171296296296298"/>
          <c:w val="0.8849884076990376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Диаграммы!$B$1</c:f>
              <c:strCache>
                <c:ptCount val="1"/>
                <c:pt idx="0">
                  <c:v>Конверсия: открыли → корзина (нед. 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Диаграммы!$A$2:$A$4</c:f>
              <c:strCache>
                <c:ptCount val="3"/>
                <c:pt idx="0">
                  <c:v>iOS</c:v>
                </c:pt>
                <c:pt idx="1">
                  <c:v>Android 5.1</c:v>
                </c:pt>
                <c:pt idx="2">
                  <c:v>Android 5.2</c:v>
                </c:pt>
              </c:strCache>
            </c:strRef>
          </c:cat>
          <c:val>
            <c:numRef>
              <c:f>Диаграммы!$B$2:$B$4</c:f>
              <c:numCache>
                <c:formatCode>0%</c:formatCode>
                <c:ptCount val="3"/>
                <c:pt idx="0">
                  <c:v>0.3</c:v>
                </c:pt>
                <c:pt idx="1">
                  <c:v>0.3</c:v>
                </c:pt>
                <c:pt idx="2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A-4FC1-A010-F0DA3216B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5564192"/>
        <c:axId val="785564608"/>
      </c:barChart>
      <c:catAx>
        <c:axId val="78556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5564608"/>
        <c:crosses val="autoZero"/>
        <c:auto val="1"/>
        <c:lblAlgn val="ctr"/>
        <c:lblOffset val="100"/>
        <c:noMultiLvlLbl val="0"/>
      </c:catAx>
      <c:valAx>
        <c:axId val="78556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556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Воронка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Воронка!$B$1</c:f>
              <c:strCache>
                <c:ptCount val="1"/>
                <c:pt idx="0">
                  <c:v>Неделя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Воронка!$A$2:$A$4</c:f>
              <c:strCache>
                <c:ptCount val="3"/>
                <c:pt idx="0">
                  <c:v>Открыли → Корзина</c:v>
                </c:pt>
                <c:pt idx="1">
                  <c:v>Корзина → Заказ</c:v>
                </c:pt>
                <c:pt idx="2">
                  <c:v>Общая</c:v>
                </c:pt>
              </c:strCache>
            </c:strRef>
          </c:cat>
          <c:val>
            <c:numRef>
              <c:f>Воронка!$B$2:$B$4</c:f>
              <c:numCache>
                <c:formatCode>0.0%</c:formatCode>
                <c:ptCount val="3"/>
                <c:pt idx="0" formatCode="0%">
                  <c:v>0.3</c:v>
                </c:pt>
                <c:pt idx="1">
                  <c:v>0.33333333333333331</c:v>
                </c:pt>
                <c:pt idx="2" formatCode="0%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C-43A6-A6DD-6B7A82D6E0A5}"/>
            </c:ext>
          </c:extLst>
        </c:ser>
        <c:ser>
          <c:idx val="1"/>
          <c:order val="1"/>
          <c:tx>
            <c:strRef>
              <c:f>Воронка!$C$1</c:f>
              <c:strCache>
                <c:ptCount val="1"/>
                <c:pt idx="0">
                  <c:v>Неделя 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Воронка!$A$2:$A$4</c:f>
              <c:strCache>
                <c:ptCount val="3"/>
                <c:pt idx="0">
                  <c:v>Открыли → Корзина</c:v>
                </c:pt>
                <c:pt idx="1">
                  <c:v>Корзина → Заказ</c:v>
                </c:pt>
                <c:pt idx="2">
                  <c:v>Общая</c:v>
                </c:pt>
              </c:strCache>
            </c:strRef>
          </c:cat>
          <c:val>
            <c:numRef>
              <c:f>Воронка!$C$2:$C$4</c:f>
              <c:numCache>
                <c:formatCode>0.0%</c:formatCode>
                <c:ptCount val="3"/>
                <c:pt idx="0" formatCode="0%">
                  <c:v>0.27</c:v>
                </c:pt>
                <c:pt idx="1">
                  <c:v>0.33333333333333331</c:v>
                </c:pt>
                <c:pt idx="2" formatCode="0%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C-43A6-A6DD-6B7A82D6E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3396736"/>
        <c:axId val="783401312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Воронка!$D$1</c15:sqref>
                        </c15:formulaRef>
                      </c:ext>
                    </c:extLst>
                    <c:strCache>
                      <c:ptCount val="1"/>
                      <c:pt idx="0">
                        <c:v>Δ, п.п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Воронка!$A$2:$A$4</c15:sqref>
                        </c15:formulaRef>
                      </c:ext>
                    </c:extLst>
                    <c:strCache>
                      <c:ptCount val="3"/>
                      <c:pt idx="0">
                        <c:v>Открыли → Корзина</c:v>
                      </c:pt>
                      <c:pt idx="1">
                        <c:v>Корзина → Заказ</c:v>
                      </c:pt>
                      <c:pt idx="2">
                        <c:v>Общая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Воронка!$D$2:$D$4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-2.9999999999999973</c:v>
                      </c:pt>
                      <c:pt idx="1">
                        <c:v>0</c:v>
                      </c:pt>
                      <c:pt idx="2">
                        <c:v>-1.0000000000000009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C8C-43A6-A6DD-6B7A82D6E0A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Воронка!$E$1</c15:sqref>
                        </c15:formulaRef>
                      </c:ext>
                    </c:extLst>
                    <c:strCache>
                      <c:ptCount val="1"/>
                      <c:pt idx="0">
                        <c:v>Δ, %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Воронка!$A$2:$A$4</c15:sqref>
                        </c15:formulaRef>
                      </c:ext>
                    </c:extLst>
                    <c:strCache>
                      <c:ptCount val="3"/>
                      <c:pt idx="0">
                        <c:v>Открыли → Корзина</c:v>
                      </c:pt>
                      <c:pt idx="1">
                        <c:v>Корзина → Заказ</c:v>
                      </c:pt>
                      <c:pt idx="2">
                        <c:v>Общая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Воронка!$E$2:$E$4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-9.9999999999999908E-2</c:v>
                      </c:pt>
                      <c:pt idx="1">
                        <c:v>0</c:v>
                      </c:pt>
                      <c:pt idx="2">
                        <c:v>-0.10000000000000009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C8C-43A6-A6DD-6B7A82D6E0A5}"/>
                  </c:ext>
                </c:extLst>
              </c15:ser>
            </c15:filteredBarSeries>
          </c:ext>
        </c:extLst>
      </c:barChart>
      <c:catAx>
        <c:axId val="78339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3401312"/>
        <c:crosses val="autoZero"/>
        <c:auto val="1"/>
        <c:lblAlgn val="ctr"/>
        <c:lblOffset val="100"/>
        <c:noMultiLvlLbl val="0"/>
      </c:catAx>
      <c:valAx>
        <c:axId val="78340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339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14288</xdr:rowOff>
    </xdr:from>
    <xdr:to>
      <xdr:col>11</xdr:col>
      <xdr:colOff>209550</xdr:colOff>
      <xdr:row>23</xdr:row>
      <xdr:rowOff>180976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F684412-B781-4A5D-90BE-9366EB625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209550</xdr:colOff>
      <xdr:row>0</xdr:row>
      <xdr:rowOff>0</xdr:rowOff>
    </xdr:from>
    <xdr:to>
      <xdr:col>19</xdr:col>
      <xdr:colOff>180975</xdr:colOff>
      <xdr:row>24</xdr:row>
      <xdr:rowOff>9525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1CD561A-C4F3-45DB-8E32-B3CBC9653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11A12-97BD-4899-B715-EB75D83B0B54}" name="Данные" displayName="Данные" ref="A1:C6" totalsRowCount="1" headerRowDxfId="8">
  <autoFilter ref="A1:C5" xr:uid="{E6411A12-97BD-4899-B715-EB75D83B0B54}"/>
  <tableColumns count="3">
    <tableColumn id="1" xr3:uid="{5ACB77C5-D1EF-49C4-9BDF-D8D290F950F3}" name="Шаг" totalsRowLabel="Падение заказов по факту"/>
    <tableColumn id="2" xr3:uid="{637E9CF8-B9EA-4D25-94B8-090556CBEEF8}" name="Неделя 1" dataDxfId="7" totalsRowDxfId="6"/>
    <tableColumn id="3" xr3:uid="{E4520AEE-7B2D-4FB4-BA5D-7CF315298E56}" name="Неделя 2" totalsRowFunction="custom" dataDxfId="5" totalsRowDxfId="4">
      <totalsRowFormula>IF(ROUND(C5,0)=Воронка!B6,"Сходится","Не сходится")</totalsRowFormula>
    </tableColumn>
  </tableColumns>
  <tableStyleInfo name="TableStyleLight1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85A4A5-8B0F-454C-B674-A2E643A25CED}" name="Воронка" displayName="Воронка" ref="A1:E4" totalsRowShown="0">
  <autoFilter ref="A1:E4" xr:uid="{5785A4A5-8B0F-454C-B674-A2E643A25CED}"/>
  <tableColumns count="5">
    <tableColumn id="1" xr3:uid="{CB84C1A4-0369-4A6A-93C6-AB9584F47480}" name="Конверсия"/>
    <tableColumn id="2" xr3:uid="{05CB4A88-F8DE-4DB0-81B3-7DD651B8E531}" name="Неделя 1"/>
    <tableColumn id="3" xr3:uid="{E7703118-C95D-4E78-B885-67B4065B5CBD}" name="Неделя 2"/>
    <tableColumn id="4" xr3:uid="{C2A374C8-34A2-4AB4-9400-5DE057866550}" name="Δ, п.п" dataDxfId="3" dataCellStyle="Процентный">
      <calculatedColumnFormula>(C2-B2)*100</calculatedColumnFormula>
    </tableColumn>
    <tableColumn id="5" xr3:uid="{70627478-5FA1-4441-AAC8-C151C4F0F9E6}" name="Δ, %" dataDxfId="2">
      <calculatedColumnFormula>(C2-B2)/B2</calculatedColumnFormula>
    </tableColumn>
  </tableColumns>
  <tableStyleInfo name="TableStyleLight11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36A479-AFFB-40BF-94C7-81DD96D9868B}" name="Версии" displayName="Версии" ref="A1:J4" totalsRowShown="0">
  <autoFilter ref="A1:J4" xr:uid="{6236A479-AFFB-40BF-94C7-81DD96D9868B}"/>
  <tableColumns count="10">
    <tableColumn id="1" xr3:uid="{9E929959-5494-4001-8B06-38C3267E6035}" name="Платформа"/>
    <tableColumn id="2" xr3:uid="{28268AA2-49FB-4569-808A-BB7B7163843B}" name="Открыли (нед. 1)"/>
    <tableColumn id="3" xr3:uid="{8C7F64DA-A1DA-41E5-9571-FC840324CA54}" name="В корзину (нед. 1)"/>
    <tableColumn id="4" xr3:uid="{4989C4A9-F2D8-46F9-A080-46EACBA652A6}" name="Открыли (нед. 2)"/>
    <tableColumn id="5" xr3:uid="{DC023362-998C-4E8A-865F-4C43BEC37A4F}" name="В корзину (нед. 2)"/>
    <tableColumn id="6" xr3:uid="{1C6A6A09-CC16-4A35-BB9B-2EA97F0BA854}" name="Открыли → Корзина (нед. 1)"/>
    <tableColumn id="7" xr3:uid="{38E88FDD-D0F8-4E13-8B20-0E859A7449B5}" name="Открыли → Корзина (нед. 2)"/>
    <tableColumn id="8" xr3:uid="{F69EE0AF-3728-43C2-8513-E44F7C26345A}" name="Δ в п.п."/>
    <tableColumn id="9" xr3:uid="{225E8B0E-8CFA-4555-B840-83E44CB1C6B6}" name=" Δ в %"/>
    <tableColumn id="10" xr3:uid="{87F62F4F-7718-49A9-8DD7-A4E927A691E1}" name="Потеряно в корзине, чел"/>
  </tableColumns>
  <tableStyleInfo name="TableStyleLight11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C5CC96-F96B-42A4-983E-DC434814BD24}" name="Android" displayName="Android" ref="A1:H4" totalsRowShown="0" headerRowDxfId="1">
  <autoFilter ref="A1:H4" xr:uid="{B7C5CC96-F96B-42A4-983E-DC434814BD24}"/>
  <tableColumns count="8">
    <tableColumn id="1" xr3:uid="{2CA8AC75-E588-4619-9719-15960C9C8FFD}" name="Версия"/>
    <tableColumn id="2" xr3:uid="{4180A9EC-BD32-4176-BE27-D3C69FBEEC28}" name="Открыли (нед. 2)"/>
    <tableColumn id="3" xr3:uid="{466C3731-71BF-4A24-8AE3-7B5BA3AF53E8}" name="В корзину (нед. 2)"/>
    <tableColumn id="4" xr3:uid="{4D98A9F1-C62D-4944-A903-702FB0ACA013}" name="Конверсия"/>
    <tableColumn id="5" xr3:uid="{EE91618F-38F7-4C84-BA5E-5E736AB0899D}" name="Δ в п.п."/>
    <tableColumn id="6" xr3:uid="{4D1547CA-97EC-4D04-B755-3253E02DBB60}" name="Δ, %"/>
    <tableColumn id="7" xr3:uid="{034C25DF-9B5F-4B18-9E5A-5DE65B2AD1AF}" name="В корзину  при Конверсии версии 5.1"/>
    <tableColumn id="8" xr3:uid="{BE6F11D7-9B5F-4806-8E63-F5A69D5DF5E1}" name="потерянно "/>
  </tableColumns>
  <tableStyleInfo name="TableStyleLight11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96EE2B-3DD9-4CEC-84AA-7FEA5D225408}" name="Таблица5" displayName="Таблица5" ref="A1:B4" totalsRowShown="0">
  <autoFilter ref="A1:B4" xr:uid="{AC96EE2B-3DD9-4CEC-84AA-7FEA5D225408}"/>
  <tableColumns count="2">
    <tableColumn id="1" xr3:uid="{7FBAB683-7591-4BF2-B7BD-C45FE607EC30}" name="Группа"/>
    <tableColumn id="2" xr3:uid="{44FA9148-4A5C-4B7E-A622-1301EBA1679C}" name="Конверсия: открыли → корзина (нед. 2)" dataDxfId="0">
      <calculatedColumnFormula>'Android по версиям'!D1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51208-9104-4190-8344-B751026F91E5}">
  <dimension ref="A1:F5"/>
  <sheetViews>
    <sheetView tabSelected="1" workbookViewId="0">
      <selection activeCell="D12" sqref="D12"/>
    </sheetView>
  </sheetViews>
  <sheetFormatPr defaultRowHeight="15" x14ac:dyDescent="0.25"/>
  <cols>
    <col min="1" max="1" width="19" customWidth="1"/>
    <col min="2" max="2" width="51.7109375" bestFit="1" customWidth="1"/>
    <col min="3" max="3" width="19" customWidth="1"/>
    <col min="4" max="4" width="41.28515625" bestFit="1" customWidth="1"/>
    <col min="5" max="5" width="15.85546875" bestFit="1" customWidth="1"/>
    <col min="6" max="6" width="58.140625" bestFit="1" customWidth="1"/>
  </cols>
  <sheetData>
    <row r="1" spans="1:6" ht="34.5" customHeight="1" x14ac:dyDescent="0.25">
      <c r="A1" s="24" t="s">
        <v>58</v>
      </c>
      <c r="B1" s="25"/>
      <c r="C1" s="24" t="s">
        <v>44</v>
      </c>
      <c r="D1" s="25"/>
      <c r="E1" s="24" t="s">
        <v>57</v>
      </c>
      <c r="F1" s="25"/>
    </row>
    <row r="2" spans="1:6" ht="46.5" customHeight="1" x14ac:dyDescent="0.25">
      <c r="A2" s="21" t="s">
        <v>37</v>
      </c>
      <c r="B2" s="22" t="s">
        <v>43</v>
      </c>
      <c r="C2" s="21" t="s">
        <v>45</v>
      </c>
      <c r="D2" s="23" t="s">
        <v>50</v>
      </c>
      <c r="E2" s="21" t="s">
        <v>51</v>
      </c>
      <c r="F2" s="23" t="s">
        <v>59</v>
      </c>
    </row>
    <row r="3" spans="1:6" ht="46.5" customHeight="1" x14ac:dyDescent="0.25">
      <c r="A3" s="21" t="s">
        <v>38</v>
      </c>
      <c r="B3" s="23" t="s">
        <v>56</v>
      </c>
      <c r="C3" s="21" t="s">
        <v>46</v>
      </c>
      <c r="D3" s="23" t="s">
        <v>49</v>
      </c>
      <c r="E3" s="21" t="s">
        <v>52</v>
      </c>
      <c r="F3" s="23" t="s">
        <v>55</v>
      </c>
    </row>
    <row r="4" spans="1:6" ht="46.5" customHeight="1" x14ac:dyDescent="0.25">
      <c r="A4" s="21" t="s">
        <v>39</v>
      </c>
      <c r="B4" s="23" t="s">
        <v>41</v>
      </c>
      <c r="C4" s="21" t="s">
        <v>47</v>
      </c>
      <c r="D4" s="23" t="s">
        <v>48</v>
      </c>
      <c r="E4" s="21" t="s">
        <v>53</v>
      </c>
      <c r="F4" s="23" t="s">
        <v>54</v>
      </c>
    </row>
    <row r="5" spans="1:6" ht="46.5" customHeight="1" x14ac:dyDescent="0.25">
      <c r="A5" s="21" t="s">
        <v>40</v>
      </c>
      <c r="B5" s="23" t="s">
        <v>42</v>
      </c>
    </row>
  </sheetData>
  <mergeCells count="3">
    <mergeCell ref="A1:B1"/>
    <mergeCell ref="E1:F1"/>
    <mergeCell ref="C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866C4-7DC0-42A8-9953-BD6B8F58C5B2}">
  <dimension ref="A1:D6"/>
  <sheetViews>
    <sheetView workbookViewId="0">
      <selection activeCell="A7" sqref="A7"/>
    </sheetView>
  </sheetViews>
  <sheetFormatPr defaultRowHeight="15" x14ac:dyDescent="0.25"/>
  <cols>
    <col min="1" max="1" width="27.85546875" bestFit="1" customWidth="1"/>
    <col min="2" max="2" width="11.85546875" customWidth="1"/>
    <col min="3" max="3" width="11.5703125" customWidth="1"/>
  </cols>
  <sheetData>
    <row r="1" spans="1:4" x14ac:dyDescent="0.25">
      <c r="A1" s="4" t="s">
        <v>5</v>
      </c>
      <c r="B1" s="4" t="s">
        <v>3</v>
      </c>
      <c r="C1" s="4" t="s">
        <v>4</v>
      </c>
      <c r="D1" s="4"/>
    </row>
    <row r="2" spans="1:4" x14ac:dyDescent="0.25">
      <c r="A2" t="s">
        <v>0</v>
      </c>
      <c r="B2" s="3">
        <v>10000</v>
      </c>
      <c r="C2" s="3">
        <v>10000</v>
      </c>
    </row>
    <row r="3" spans="1:4" x14ac:dyDescent="0.25">
      <c r="A3" t="s">
        <v>1</v>
      </c>
      <c r="B3" s="3">
        <v>3000</v>
      </c>
      <c r="C3" s="3">
        <v>2700</v>
      </c>
    </row>
    <row r="4" spans="1:4" x14ac:dyDescent="0.25">
      <c r="A4" t="s">
        <v>2</v>
      </c>
      <c r="B4" s="3">
        <v>1000</v>
      </c>
      <c r="C4" s="3">
        <v>900</v>
      </c>
    </row>
    <row r="5" spans="1:4" x14ac:dyDescent="0.25">
      <c r="A5" t="s">
        <v>35</v>
      </c>
      <c r="B5" s="3"/>
      <c r="C5" s="3">
        <f>B4-C4</f>
        <v>100</v>
      </c>
    </row>
    <row r="6" spans="1:4" x14ac:dyDescent="0.25">
      <c r="A6" t="s">
        <v>36</v>
      </c>
      <c r="B6" s="3"/>
      <c r="C6" s="3" t="str">
        <f>IF(ROUND(C5,0)=Воронка!B6,"Сходится","Не сходится")</f>
        <v>Сходится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6468E-CE43-4699-A423-4FA12BF856B7}">
  <dimension ref="A1:E6"/>
  <sheetViews>
    <sheetView workbookViewId="0">
      <selection activeCell="F27" sqref="F27"/>
    </sheetView>
  </sheetViews>
  <sheetFormatPr defaultRowHeight="15" x14ac:dyDescent="0.25"/>
  <cols>
    <col min="1" max="1" width="19.85546875" customWidth="1"/>
    <col min="2" max="3" width="11.5703125" customWidth="1"/>
    <col min="6" max="6" width="15.28515625" customWidth="1"/>
    <col min="10" max="10" width="19.85546875" bestFit="1" customWidth="1"/>
    <col min="11" max="12" width="24.7109375" bestFit="1" customWidth="1"/>
  </cols>
  <sheetData>
    <row r="1" spans="1:5" x14ac:dyDescent="0.25">
      <c r="A1" t="s">
        <v>6</v>
      </c>
      <c r="B1" s="1" t="s">
        <v>3</v>
      </c>
      <c r="C1" s="1" t="s">
        <v>4</v>
      </c>
      <c r="D1" s="7" t="s">
        <v>10</v>
      </c>
      <c r="E1" s="7" t="s">
        <v>11</v>
      </c>
    </row>
    <row r="2" spans="1:5" x14ac:dyDescent="0.25">
      <c r="A2" t="s">
        <v>7</v>
      </c>
      <c r="B2" s="6">
        <f>Данные!B3/Данные!B2</f>
        <v>0.3</v>
      </c>
      <c r="C2" s="6">
        <f>Данные!C3/Данные!C2</f>
        <v>0.27</v>
      </c>
      <c r="D2" s="9">
        <f>(C2-B2)*100</f>
        <v>-2.9999999999999973</v>
      </c>
      <c r="E2" s="6">
        <f>(C2-B2)/B2</f>
        <v>-9.9999999999999908E-2</v>
      </c>
    </row>
    <row r="3" spans="1:5" x14ac:dyDescent="0.25">
      <c r="A3" t="s">
        <v>8</v>
      </c>
      <c r="B3" s="5">
        <f>Данные!B4/Данные!B3</f>
        <v>0.33333333333333331</v>
      </c>
      <c r="C3" s="5">
        <f>Данные!C4/Данные!C3</f>
        <v>0.33333333333333331</v>
      </c>
      <c r="D3" s="9">
        <f t="shared" ref="D3:D4" si="0">(C3-B3)*100</f>
        <v>0</v>
      </c>
      <c r="E3" s="6">
        <f t="shared" ref="E3:E4" si="1">(C3-B3)/B3</f>
        <v>0</v>
      </c>
    </row>
    <row r="4" spans="1:5" x14ac:dyDescent="0.25">
      <c r="A4" t="s">
        <v>9</v>
      </c>
      <c r="B4" s="6">
        <f>Данные!B4/Данные!B2</f>
        <v>0.1</v>
      </c>
      <c r="C4" s="6">
        <f>Данные!C4/Данные!C2</f>
        <v>0.09</v>
      </c>
      <c r="D4" s="9">
        <f t="shared" si="0"/>
        <v>-1.0000000000000009</v>
      </c>
      <c r="E4" s="6">
        <f t="shared" si="1"/>
        <v>-0.10000000000000009</v>
      </c>
    </row>
    <row r="5" spans="1:5" x14ac:dyDescent="0.25">
      <c r="B5" s="5"/>
      <c r="C5" s="5"/>
    </row>
    <row r="6" spans="1:5" x14ac:dyDescent="0.25">
      <c r="A6" t="s">
        <v>34</v>
      </c>
      <c r="B6" s="3">
        <f>'Android по версиям'!H3*B3</f>
        <v>100</v>
      </c>
      <c r="C6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9332-D193-49E9-9961-1CAF28E17711}">
  <dimension ref="A1:J4"/>
  <sheetViews>
    <sheetView workbookViewId="0">
      <selection activeCell="F1" sqref="F1"/>
    </sheetView>
  </sheetViews>
  <sheetFormatPr defaultRowHeight="15" x14ac:dyDescent="0.25"/>
  <cols>
    <col min="1" max="1" width="13.7109375" customWidth="1"/>
    <col min="2" max="2" width="12.5703125" customWidth="1"/>
    <col min="3" max="3" width="12.7109375" customWidth="1"/>
    <col min="4" max="4" width="12.85546875" customWidth="1"/>
    <col min="5" max="5" width="13.5703125" customWidth="1"/>
    <col min="6" max="6" width="12.42578125" customWidth="1"/>
    <col min="7" max="7" width="12.5703125" customWidth="1"/>
    <col min="8" max="8" width="9.7109375" customWidth="1"/>
    <col min="10" max="10" width="13" customWidth="1"/>
  </cols>
  <sheetData>
    <row r="1" spans="1:10" ht="45" x14ac:dyDescent="0.25">
      <c r="A1" s="10" t="s">
        <v>12</v>
      </c>
      <c r="B1" s="10" t="s">
        <v>13</v>
      </c>
      <c r="C1" s="10" t="s">
        <v>14</v>
      </c>
      <c r="D1" s="10" t="s">
        <v>15</v>
      </c>
      <c r="E1" s="10" t="s">
        <v>16</v>
      </c>
      <c r="F1" s="19" t="s">
        <v>21</v>
      </c>
      <c r="G1" s="19" t="s">
        <v>22</v>
      </c>
      <c r="H1" s="14" t="s">
        <v>20</v>
      </c>
      <c r="I1" s="10" t="s">
        <v>19</v>
      </c>
      <c r="J1" s="10" t="s">
        <v>23</v>
      </c>
    </row>
    <row r="2" spans="1:10" x14ac:dyDescent="0.25">
      <c r="A2" s="11" t="s">
        <v>17</v>
      </c>
      <c r="B2" s="13">
        <v>4000</v>
      </c>
      <c r="C2" s="13">
        <v>1200</v>
      </c>
      <c r="D2" s="13">
        <v>4000</v>
      </c>
      <c r="E2" s="13">
        <v>1200</v>
      </c>
      <c r="F2" s="8">
        <f>C2/B2</f>
        <v>0.3</v>
      </c>
      <c r="G2" s="8">
        <f>E2/D2</f>
        <v>0.3</v>
      </c>
      <c r="H2" s="3">
        <f>(G2-F2)*100</f>
        <v>0</v>
      </c>
      <c r="I2" s="6">
        <f>(G2-F2)/F2</f>
        <v>0</v>
      </c>
      <c r="J2" s="12">
        <f>C2-E2</f>
        <v>0</v>
      </c>
    </row>
    <row r="3" spans="1:10" x14ac:dyDescent="0.25">
      <c r="A3" s="11" t="s">
        <v>18</v>
      </c>
      <c r="B3" s="13">
        <v>6000</v>
      </c>
      <c r="C3" s="13">
        <v>1800</v>
      </c>
      <c r="D3" s="13">
        <v>6000</v>
      </c>
      <c r="E3" s="13">
        <v>1500</v>
      </c>
      <c r="F3" s="8">
        <f>C3/B3</f>
        <v>0.3</v>
      </c>
      <c r="G3" s="8">
        <f>E3/D3</f>
        <v>0.25</v>
      </c>
      <c r="H3" s="3">
        <f>(G3-F3)*100</f>
        <v>-4.9999999999999991</v>
      </c>
      <c r="I3" s="5">
        <f>(G3-F3)/F3</f>
        <v>-0.16666666666666663</v>
      </c>
      <c r="J3" s="12">
        <f>C3-E3</f>
        <v>300</v>
      </c>
    </row>
    <row r="4" spans="1:10" x14ac:dyDescent="0.25">
      <c r="A4" t="s">
        <v>24</v>
      </c>
      <c r="B4" s="12">
        <f>SUM(B2,B3)</f>
        <v>10000</v>
      </c>
      <c r="C4" s="12">
        <f t="shared" ref="C4:D4" si="0">SUM(C2,C3)</f>
        <v>3000</v>
      </c>
      <c r="D4" s="12">
        <f t="shared" si="0"/>
        <v>10000</v>
      </c>
      <c r="E4" s="12">
        <f>SUM(E2,E3)</f>
        <v>2700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AA2AC-91CF-4FC6-AA6D-2727B0096417}">
  <dimension ref="A1:H4"/>
  <sheetViews>
    <sheetView workbookViewId="0">
      <selection activeCell="K8" sqref="K8"/>
    </sheetView>
  </sheetViews>
  <sheetFormatPr defaultRowHeight="15" x14ac:dyDescent="0.25"/>
  <cols>
    <col min="1" max="1" width="9.5703125" customWidth="1"/>
    <col min="2" max="2" width="11.85546875" customWidth="1"/>
    <col min="3" max="3" width="11.42578125" customWidth="1"/>
    <col min="4" max="4" width="12.140625" customWidth="1"/>
    <col min="5" max="5" width="10" customWidth="1"/>
    <col min="6" max="6" width="8" customWidth="1"/>
    <col min="7" max="7" width="15" customWidth="1"/>
    <col min="8" max="8" width="11.140625" customWidth="1"/>
  </cols>
  <sheetData>
    <row r="1" spans="1:8" ht="47.25" customHeight="1" x14ac:dyDescent="0.25">
      <c r="A1" s="10" t="s">
        <v>25</v>
      </c>
      <c r="B1" s="10" t="s">
        <v>15</v>
      </c>
      <c r="C1" s="10" t="s">
        <v>16</v>
      </c>
      <c r="D1" s="10" t="s">
        <v>6</v>
      </c>
      <c r="E1" s="10" t="s">
        <v>20</v>
      </c>
      <c r="F1" s="10" t="s">
        <v>11</v>
      </c>
      <c r="G1" s="10" t="s">
        <v>28</v>
      </c>
      <c r="H1" s="10" t="s">
        <v>29</v>
      </c>
    </row>
    <row r="2" spans="1:8" x14ac:dyDescent="0.25">
      <c r="A2" s="15" t="s">
        <v>26</v>
      </c>
      <c r="B2" s="13">
        <v>3500</v>
      </c>
      <c r="C2" s="13">
        <v>1050</v>
      </c>
      <c r="D2" s="8">
        <f>C2/B2</f>
        <v>0.3</v>
      </c>
      <c r="E2" s="16"/>
      <c r="F2" s="17"/>
    </row>
    <row r="3" spans="1:8" x14ac:dyDescent="0.25">
      <c r="A3" s="2" t="s">
        <v>27</v>
      </c>
      <c r="B3" s="13">
        <v>2500</v>
      </c>
      <c r="C3" s="11">
        <v>450</v>
      </c>
      <c r="D3" s="8">
        <f>C3/B3</f>
        <v>0.18</v>
      </c>
      <c r="E3" s="18">
        <f>(D3-D2)*100</f>
        <v>-12</v>
      </c>
      <c r="F3" s="8">
        <f>(D3-D2)/D2</f>
        <v>-0.4</v>
      </c>
      <c r="G3">
        <f>B3*D2</f>
        <v>750</v>
      </c>
      <c r="H3" s="2">
        <f>G3-C3</f>
        <v>300</v>
      </c>
    </row>
    <row r="4" spans="1:8" x14ac:dyDescent="0.25">
      <c r="A4" t="s">
        <v>24</v>
      </c>
      <c r="B4" s="12">
        <f>SUM(B2,B3)</f>
        <v>6000</v>
      </c>
      <c r="C4" s="12">
        <f>SUM(C2,C3)</f>
        <v>1500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F6C4-3235-4C8D-8FC9-DED105E0FF53}">
  <dimension ref="A1:B4"/>
  <sheetViews>
    <sheetView workbookViewId="0">
      <selection activeCell="P29" sqref="P29"/>
    </sheetView>
  </sheetViews>
  <sheetFormatPr defaultRowHeight="15" x14ac:dyDescent="0.25"/>
  <cols>
    <col min="1" max="1" width="11.140625" bestFit="1" customWidth="1"/>
    <col min="2" max="2" width="39.5703125" customWidth="1"/>
  </cols>
  <sheetData>
    <row r="1" spans="1:2" ht="37.5" customHeight="1" x14ac:dyDescent="0.25">
      <c r="A1" t="s">
        <v>32</v>
      </c>
      <c r="B1" s="20" t="s">
        <v>33</v>
      </c>
    </row>
    <row r="2" spans="1:2" x14ac:dyDescent="0.25">
      <c r="A2" t="s">
        <v>17</v>
      </c>
      <c r="B2" s="6">
        <f>Версии[[#This Row],[Открыли → Корзина (нед. 2)]]</f>
        <v>0.3</v>
      </c>
    </row>
    <row r="3" spans="1:2" x14ac:dyDescent="0.25">
      <c r="A3" t="s">
        <v>30</v>
      </c>
      <c r="B3" s="6">
        <f>'Android по версиям'!D2</f>
        <v>0.3</v>
      </c>
    </row>
    <row r="4" spans="1:2" x14ac:dyDescent="0.25">
      <c r="A4" t="s">
        <v>31</v>
      </c>
      <c r="B4" s="6">
        <f>'Android по версиям'!D3</f>
        <v>0.18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Вывод</vt:lpstr>
      <vt:lpstr>Данные</vt:lpstr>
      <vt:lpstr>Воронка</vt:lpstr>
      <vt:lpstr>Платформы и версии</vt:lpstr>
      <vt:lpstr>Android по версиям</vt:lpstr>
      <vt:lpstr>Диаграммы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..</dc:creator>
  <cp:lastModifiedBy>Андрей ..</cp:lastModifiedBy>
  <dcterms:created xsi:type="dcterms:W3CDTF">2026-10-06T09:48:34Z</dcterms:created>
  <dcterms:modified xsi:type="dcterms:W3CDTF">2026-10-21T09:16:01Z</dcterms:modified>
</cp:coreProperties>
</file>